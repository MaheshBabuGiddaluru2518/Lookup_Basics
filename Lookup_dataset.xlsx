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a96f5e35a1fcb2/Documents/"/>
    </mc:Choice>
  </mc:AlternateContent>
  <xr:revisionPtr revIDLastSave="0" documentId="8_{F8510E5D-2C16-4EDF-94A2-2C69182F9D0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LOOKUP (same sheet)" sheetId="1" r:id="rId1"/>
    <sheet name="VLOOKUP(Different sheet)-1" sheetId="2" r:id="rId2"/>
    <sheet name="VLOOKUP(Different sheet)-2" sheetId="3" r:id="rId3"/>
    <sheet name="HLOOKUP" sheetId="4" r:id="rId4"/>
    <sheet name="INDEX-MATCH" sheetId="5" r:id="rId5"/>
  </sheets>
  <calcPr calcId="181029"/>
  <extLst>
    <ext uri="GoogleSheetsCustomDataVersion2">
      <go:sheetsCustomData xmlns:go="http://customooxmlschemas.google.com/" r:id="rId10" roundtripDataChecksum="S49BVmX5cMM5T9CG33QuRmYVkSbSd8vcFfDdNbHuuAw="/>
    </ext>
  </extLst>
</workbook>
</file>

<file path=xl/calcChain.xml><?xml version="1.0" encoding="utf-8"?>
<calcChain xmlns="http://schemas.openxmlformats.org/spreadsheetml/2006/main">
  <c r="C13" i="5" l="1"/>
  <c r="C11" i="5"/>
  <c r="B12" i="4"/>
  <c r="B8" i="4"/>
  <c r="N4" i="1"/>
  <c r="N5" i="1"/>
  <c r="N6" i="1"/>
  <c r="N7" i="1"/>
  <c r="N8" i="1"/>
  <c r="N9" i="1"/>
  <c r="N10" i="1"/>
  <c r="N11" i="1"/>
  <c r="N12" i="1"/>
  <c r="N13" i="1"/>
  <c r="N14" i="1"/>
  <c r="N15" i="1"/>
  <c r="N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L4" i="1"/>
  <c r="L5" i="1"/>
  <c r="L6" i="1"/>
  <c r="L7" i="1"/>
  <c r="L8" i="1"/>
  <c r="L9" i="1"/>
  <c r="L10" i="1"/>
  <c r="L11" i="1"/>
  <c r="L12" i="1"/>
  <c r="L13" i="1"/>
  <c r="L14" i="1"/>
  <c r="L15" i="1"/>
  <c r="L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</calcChain>
</file>

<file path=xl/sharedStrings.xml><?xml version="1.0" encoding="utf-8"?>
<sst xmlns="http://schemas.openxmlformats.org/spreadsheetml/2006/main" count="155" uniqueCount="61">
  <si>
    <t>TABLE 1</t>
  </si>
  <si>
    <t>TABLE 2</t>
  </si>
  <si>
    <t>FINAL TABLE</t>
  </si>
  <si>
    <t>EMPLOYEE ID</t>
  </si>
  <si>
    <t>LAST_NAME</t>
  </si>
  <si>
    <t>FIRST_NAME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</si>
  <si>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</si>
  <si>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</si>
  <si>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</si>
  <si>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</si>
  <si>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</si>
  <si>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</si>
  <si>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</si>
  <si>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</si>
  <si>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Fawre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</si>
  <si>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</si>
  <si>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</si>
  <si>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</si>
  <si>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</si>
  <si>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</si>
  <si>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</si>
  <si>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</si>
  <si>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</si>
  <si>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</si>
  <si>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</si>
  <si>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</si>
  <si>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</si>
  <si>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Price</t>
  </si>
  <si>
    <t>Pitt</t>
  </si>
  <si>
    <t>Brad</t>
  </si>
  <si>
    <t>CITY</t>
  </si>
  <si>
    <t>STATE</t>
  </si>
  <si>
    <t>Columbus</t>
  </si>
  <si>
    <t>Ohio</t>
  </si>
  <si>
    <t>Chicago</t>
  </si>
  <si>
    <t>Illinois</t>
  </si>
  <si>
    <t>Tampa Bay</t>
  </si>
  <si>
    <t>Florida</t>
  </si>
  <si>
    <t>Austin</t>
  </si>
  <si>
    <t>Texas</t>
  </si>
  <si>
    <t>STUDENT NAME</t>
  </si>
  <si>
    <t>A</t>
  </si>
  <si>
    <t>B</t>
  </si>
  <si>
    <t>C</t>
  </si>
  <si>
    <t>D</t>
  </si>
  <si>
    <t>E</t>
  </si>
  <si>
    <t>ACCOUNTS</t>
  </si>
  <si>
    <t>ECONOMICS</t>
  </si>
  <si>
    <t>MANAGEMENT</t>
  </si>
  <si>
    <t>MATHEMATICS</t>
  </si>
  <si>
    <t>Marks of D in management</t>
  </si>
  <si>
    <t>NAME</t>
  </si>
  <si>
    <t>HEIGHT</t>
  </si>
  <si>
    <t>WEIGHT</t>
  </si>
  <si>
    <t>Sally</t>
  </si>
  <si>
    <t>Tom</t>
  </si>
  <si>
    <t>Kevin</t>
  </si>
  <si>
    <t>Amanda</t>
  </si>
  <si>
    <t>Carl</t>
  </si>
  <si>
    <t>Ned</t>
  </si>
  <si>
    <t>Marks of B in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</si>
</sst>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"/>
  </numFmts>
  <fonts count="11" x14ac:knownFonts="1">
    <font>
      <sz val="10"/>
      <color rgb="FF000000"/>
      <name val="Arial"/>
      <scheme val="minor"/>
    </font>
    <font>
      <b/>
      <u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/>
    <xf numFmtId="0" fontId="6" fillId="6" borderId="4" xfId="0" applyFont="1" applyFill="1" applyBorder="1"/>
    <xf numFmtId="0" fontId="7" fillId="7" borderId="4" xfId="0" applyFont="1" applyFill="1" applyBorder="1" applyAlignment="1">
      <alignment horizontal="center"/>
    </xf>
    <xf numFmtId="0" fontId="8" fillId="8" borderId="4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0" borderId="0" xfId="0" applyFont="1"/>
    <xf numFmtId="0" fontId="3" fillId="10" borderId="4" xfId="0" applyFont="1" applyFill="1" applyBorder="1" applyAlignment="1">
      <alignment horizontal="center"/>
    </xf>
    <xf numFmtId="0" fontId="3" fillId="0" borderId="0" xfId="0" applyFont="1"/>
    <xf numFmtId="0" fontId="10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8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N3" sqref="N3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4" t="s">
        <v>0</v>
      </c>
      <c r="B1" s="15"/>
      <c r="C1" s="16"/>
      <c r="D1" s="1"/>
      <c r="E1" s="17" t="s">
        <v>1</v>
      </c>
      <c r="F1" s="16"/>
      <c r="G1" s="1"/>
      <c r="H1" s="1"/>
      <c r="I1" s="18" t="s">
        <v>2</v>
      </c>
      <c r="J1" s="15"/>
      <c r="K1" s="15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3</v>
      </c>
      <c r="B2" s="2" t="s">
        <v>4</v>
      </c>
      <c r="C2" s="2" t="s">
        <v>5</v>
      </c>
      <c r="E2" s="3" t="s">
        <v>3</v>
      </c>
      <c r="F2" s="3" t="s">
        <v>6</v>
      </c>
      <c r="I2" s="4" t="s">
        <v>3</v>
      </c>
      <c r="J2" s="4" t="s">
        <v>6</v>
      </c>
      <c r="K2" s="4" t="s">
        <v>4</v>
      </c>
      <c r="L2" s="4" t="s">
        <v>5</v>
      </c>
      <c r="M2" s="19" t="s">
        <v>30</v>
      </c>
      <c r="N2" s="19" t="s">
        <v>31</v>
      </c>
    </row>
    <row r="3" spans="1:26" ht="15.75" customHeight="1" x14ac:dyDescent="0.25">
      <c r="A3" s="5">
        <v>110608</v>
      </c>
      <c r="B3" s="5" t="s">
        <v>7</v>
      </c>
      <c r="C3" s="5" t="s">
        <v>8</v>
      </c>
      <c r="E3" s="6">
        <v>990678</v>
      </c>
      <c r="F3" s="7">
        <v>84289</v>
      </c>
      <c r="I3" s="6">
        <v>990678</v>
      </c>
      <c r="J3" s="7">
        <v>84289</v>
      </c>
      <c r="K3" s="5" t="str">
        <f>VLOOKUP(I3,$A$3:$C$15,2,0)</f>
        <v>Pitt</v>
      </c>
      <c r="L3" s="5" t="str">
        <f>VLOOKUP(I3,$A$3:$C$15,3,0)</f>
        <v>Brad</v>
      </c>
      <c r="M3" t="str">
        <f>VLOOKUP($I3,'VLOOKUP(Different sheet)-1'!$F$3:$J$15,4,0)</f>
        <v>Austin</v>
      </c>
      <c r="N3" t="str">
        <f>VLOOKUP($I3,'VLOOKUP(Different sheet)-1'!$F$3:$J$15,5,0)</f>
        <v>Texas</v>
      </c>
    </row>
    <row r="4" spans="1:26" ht="15.75" customHeight="1" x14ac:dyDescent="0.25">
      <c r="A4" s="5">
        <v>253072</v>
      </c>
      <c r="B4" s="5" t="s">
        <v>9</v>
      </c>
      <c r="C4" s="5" t="s">
        <v>10</v>
      </c>
      <c r="E4" s="6">
        <v>830385</v>
      </c>
      <c r="F4" s="7">
        <v>137670</v>
      </c>
      <c r="I4" s="6">
        <v>830385</v>
      </c>
      <c r="J4" s="7">
        <v>137670</v>
      </c>
      <c r="K4" s="5" t="str">
        <f t="shared" ref="K4:K15" si="0">VLOOKUP(I4,$A$3:$C$15,2,0)</f>
        <v>Williams</v>
      </c>
      <c r="L4" s="5" t="str">
        <f t="shared" ref="L4:L15" si="1">VLOOKUP(I4,$A$3:$C$15,3,0)</f>
        <v>Price</v>
      </c>
      <c r="M4" t="str">
        <f>VLOOKUP($I4,'VLOOKUP(Different sheet)-1'!$F$3:$J$15,4,0)</f>
        <v>Chicago</v>
      </c>
      <c r="N4" t="str">
        <f>VLOOKUP($I4,'VLOOKUP(Different sheet)-1'!$F$3:$J$15,5,0)</f>
        <v>Illinois</v>
      </c>
    </row>
    <row r="5" spans="1:26" ht="15.75" customHeight="1" x14ac:dyDescent="0.25">
      <c r="A5" s="5">
        <v>352711</v>
      </c>
      <c r="B5" s="5" t="s">
        <v>11</v>
      </c>
      <c r="C5" s="5" t="s">
        <v>8</v>
      </c>
      <c r="E5" s="6">
        <v>795574</v>
      </c>
      <c r="F5" s="7">
        <v>190024</v>
      </c>
      <c r="I5" s="6">
        <v>795574</v>
      </c>
      <c r="J5" s="7">
        <v>190024</v>
      </c>
      <c r="K5" s="5" t="str">
        <f t="shared" si="0"/>
        <v>Stark</v>
      </c>
      <c r="L5" s="5" t="str">
        <f t="shared" si="1"/>
        <v>Tony</v>
      </c>
      <c r="M5" t="str">
        <f>VLOOKUP($I5,'VLOOKUP(Different sheet)-1'!$F$3:$J$15,4,0)</f>
        <v>Austin</v>
      </c>
      <c r="N5" t="str">
        <f>VLOOKUP($I5,'VLOOKUP(Different sheet)-1'!$F$3:$J$15,5,0)</f>
        <v>Texas</v>
      </c>
    </row>
    <row r="6" spans="1:26" ht="15.75" customHeight="1" x14ac:dyDescent="0.25">
      <c r="A6" s="5">
        <v>391006</v>
      </c>
      <c r="B6" s="5" t="s">
        <v>12</v>
      </c>
      <c r="C6" s="5" t="s">
        <v>13</v>
      </c>
      <c r="E6" s="6">
        <v>580622</v>
      </c>
      <c r="F6" s="7">
        <v>122604</v>
      </c>
      <c r="I6" s="6">
        <v>580622</v>
      </c>
      <c r="J6" s="7">
        <v>122604</v>
      </c>
      <c r="K6" s="5" t="str">
        <f t="shared" si="0"/>
        <v>Manning</v>
      </c>
      <c r="L6" s="5" t="str">
        <f t="shared" si="1"/>
        <v>Eli</v>
      </c>
      <c r="M6" t="str">
        <f>VLOOKUP($I6,'VLOOKUP(Different sheet)-1'!$F$3:$J$15,4,0)</f>
        <v>Columbus</v>
      </c>
      <c r="N6" t="str">
        <f>VLOOKUP($I6,'VLOOKUP(Different sheet)-1'!$F$3:$J$15,5,0)</f>
        <v>Ohio</v>
      </c>
    </row>
    <row r="7" spans="1:26" ht="15.75" customHeight="1" x14ac:dyDescent="0.25">
      <c r="A7" s="5">
        <v>392128</v>
      </c>
      <c r="B7" s="5" t="s">
        <v>14</v>
      </c>
      <c r="C7" s="5" t="s">
        <v>15</v>
      </c>
      <c r="E7" s="6">
        <v>549427</v>
      </c>
      <c r="F7" s="7">
        <v>111700</v>
      </c>
      <c r="I7" s="6">
        <v>549427</v>
      </c>
      <c r="J7" s="7">
        <v>111700</v>
      </c>
      <c r="K7" s="5" t="str">
        <f t="shared" si="0"/>
        <v>Elway</v>
      </c>
      <c r="L7" s="5" t="str">
        <f t="shared" si="1"/>
        <v>John</v>
      </c>
      <c r="M7" t="str">
        <f>VLOOKUP($I7,'VLOOKUP(Different sheet)-1'!$F$3:$J$15,4,0)</f>
        <v>Tampa Bay</v>
      </c>
      <c r="N7" t="str">
        <f>VLOOKUP($I7,'VLOOKUP(Different sheet)-1'!$F$3:$J$15,5,0)</f>
        <v>Florida</v>
      </c>
    </row>
    <row r="8" spans="1:26" ht="15.75" customHeight="1" x14ac:dyDescent="0.25">
      <c r="A8" s="5">
        <v>549427</v>
      </c>
      <c r="B8" s="5" t="s">
        <v>16</v>
      </c>
      <c r="C8" s="5" t="s">
        <v>8</v>
      </c>
      <c r="E8" s="6">
        <v>392128</v>
      </c>
      <c r="F8" s="7">
        <v>85931</v>
      </c>
      <c r="I8" s="6">
        <v>392128</v>
      </c>
      <c r="J8" s="7">
        <v>85931</v>
      </c>
      <c r="K8" s="5" t="str">
        <f t="shared" si="0"/>
        <v>Fawre</v>
      </c>
      <c r="L8" s="5" t="str">
        <f t="shared" si="1"/>
        <v>Bret</v>
      </c>
      <c r="M8" t="str">
        <f>VLOOKUP($I8,'VLOOKUP(Different sheet)-1'!$F$3:$J$15,4,0)</f>
        <v>Chicago</v>
      </c>
      <c r="N8" t="str">
        <f>VLOOKUP($I8,'VLOOKUP(Different sheet)-1'!$F$3:$J$15,5,0)</f>
        <v>Illinois</v>
      </c>
    </row>
    <row r="9" spans="1:26" ht="15.75" customHeight="1" x14ac:dyDescent="0.25">
      <c r="A9" s="5">
        <v>580622</v>
      </c>
      <c r="B9" s="5" t="s">
        <v>17</v>
      </c>
      <c r="C9" s="5" t="s">
        <v>18</v>
      </c>
      <c r="E9" s="6">
        <v>391006</v>
      </c>
      <c r="F9" s="7">
        <v>168114</v>
      </c>
      <c r="I9" s="6">
        <v>391006</v>
      </c>
      <c r="J9" s="7">
        <v>168114</v>
      </c>
      <c r="K9" s="5" t="str">
        <f t="shared" si="0"/>
        <v>Pan</v>
      </c>
      <c r="L9" s="5" t="str">
        <f t="shared" si="1"/>
        <v>Peter</v>
      </c>
      <c r="M9" t="str">
        <f>VLOOKUP($I9,'VLOOKUP(Different sheet)-1'!$F$3:$J$15,4,0)</f>
        <v>Chicago</v>
      </c>
      <c r="N9" t="str">
        <f>VLOOKUP($I9,'VLOOKUP(Different sheet)-1'!$F$3:$J$15,5,0)</f>
        <v>Illinois</v>
      </c>
    </row>
    <row r="10" spans="1:26" ht="15.75" customHeight="1" x14ac:dyDescent="0.25">
      <c r="A10" s="5">
        <v>602693</v>
      </c>
      <c r="B10" s="5" t="s">
        <v>19</v>
      </c>
      <c r="C10" s="5" t="s">
        <v>20</v>
      </c>
      <c r="E10" s="6">
        <v>352711</v>
      </c>
      <c r="F10" s="7">
        <v>89627</v>
      </c>
      <c r="I10" s="6">
        <v>352711</v>
      </c>
      <c r="J10" s="7">
        <v>89627</v>
      </c>
      <c r="K10" s="5" t="str">
        <f t="shared" si="0"/>
        <v>Smith</v>
      </c>
      <c r="L10" s="5" t="str">
        <f t="shared" si="1"/>
        <v>John</v>
      </c>
      <c r="M10" t="str">
        <f>VLOOKUP($I10,'VLOOKUP(Different sheet)-1'!$F$3:$J$15,4,0)</f>
        <v>Tampa Bay</v>
      </c>
      <c r="N10" t="str">
        <f>VLOOKUP($I10,'VLOOKUP(Different sheet)-1'!$F$3:$J$15,5,0)</f>
        <v>Florida</v>
      </c>
    </row>
    <row r="11" spans="1:26" ht="15.75" customHeight="1" x14ac:dyDescent="0.25">
      <c r="A11" s="5">
        <v>611810</v>
      </c>
      <c r="B11" s="5" t="s">
        <v>21</v>
      </c>
      <c r="C11" s="5" t="s">
        <v>22</v>
      </c>
      <c r="E11" s="6">
        <v>253072</v>
      </c>
      <c r="F11" s="7">
        <v>149946</v>
      </c>
      <c r="I11" s="6">
        <v>253072</v>
      </c>
      <c r="J11" s="7">
        <v>149946</v>
      </c>
      <c r="K11" s="5" t="str">
        <f t="shared" si="0"/>
        <v>Cline</v>
      </c>
      <c r="L11" s="5" t="str">
        <f t="shared" si="1"/>
        <v>Andy</v>
      </c>
      <c r="M11" t="str">
        <f>VLOOKUP($I11,'VLOOKUP(Different sheet)-1'!$F$3:$J$15,4,0)</f>
        <v>Chicago</v>
      </c>
      <c r="N11" t="str">
        <f>VLOOKUP($I11,'VLOOKUP(Different sheet)-1'!$F$3:$J$15,5,0)</f>
        <v>Illinois</v>
      </c>
    </row>
    <row r="12" spans="1:26" ht="15.75" customHeight="1" x14ac:dyDescent="0.25">
      <c r="A12" s="5">
        <v>612235</v>
      </c>
      <c r="B12" s="5" t="s">
        <v>23</v>
      </c>
      <c r="C12" s="5" t="s">
        <v>20</v>
      </c>
      <c r="E12" s="6">
        <v>612235</v>
      </c>
      <c r="F12" s="7">
        <v>145893</v>
      </c>
      <c r="I12" s="6">
        <v>612235</v>
      </c>
      <c r="J12" s="7">
        <v>145893</v>
      </c>
      <c r="K12" s="5" t="str">
        <f t="shared" si="0"/>
        <v>Jordan</v>
      </c>
      <c r="L12" s="5" t="str">
        <f t="shared" si="1"/>
        <v>Micheal</v>
      </c>
      <c r="M12" t="str">
        <f>VLOOKUP($I12,'VLOOKUP(Different sheet)-1'!$F$3:$J$15,4,0)</f>
        <v>Tampa Bay</v>
      </c>
      <c r="N12" t="str">
        <f>VLOOKUP($I12,'VLOOKUP(Different sheet)-1'!$F$3:$J$15,5,0)</f>
        <v>Florida</v>
      </c>
    </row>
    <row r="13" spans="1:26" ht="15.75" customHeight="1" x14ac:dyDescent="0.25">
      <c r="A13" s="5">
        <v>795574</v>
      </c>
      <c r="B13" s="5" t="s">
        <v>24</v>
      </c>
      <c r="C13" s="5" t="s">
        <v>25</v>
      </c>
      <c r="E13" s="6">
        <v>611810</v>
      </c>
      <c r="F13" s="7">
        <v>64757</v>
      </c>
      <c r="I13" s="6">
        <v>611810</v>
      </c>
      <c r="J13" s="7">
        <v>64757</v>
      </c>
      <c r="K13" s="5" t="str">
        <f t="shared" si="0"/>
        <v>Woods</v>
      </c>
      <c r="L13" s="5" t="str">
        <f t="shared" si="1"/>
        <v>Tiger</v>
      </c>
      <c r="M13" t="str">
        <f>VLOOKUP($I13,'VLOOKUP(Different sheet)-1'!$F$3:$J$15,4,0)</f>
        <v>Austin</v>
      </c>
      <c r="N13" t="str">
        <f>VLOOKUP($I13,'VLOOKUP(Different sheet)-1'!$F$3:$J$15,5,0)</f>
        <v>Texas</v>
      </c>
    </row>
    <row r="14" spans="1:26" ht="15.75" customHeight="1" x14ac:dyDescent="0.25">
      <c r="A14" s="5">
        <v>830385</v>
      </c>
      <c r="B14" s="5" t="s">
        <v>26</v>
      </c>
      <c r="C14" s="5" t="s">
        <v>27</v>
      </c>
      <c r="E14" s="6">
        <v>602693</v>
      </c>
      <c r="F14" s="7">
        <v>71478</v>
      </c>
      <c r="I14" s="6">
        <v>602693</v>
      </c>
      <c r="J14" s="7">
        <v>71478</v>
      </c>
      <c r="K14" s="5" t="str">
        <f t="shared" si="0"/>
        <v>Vick</v>
      </c>
      <c r="L14" s="5" t="str">
        <f t="shared" si="1"/>
        <v>Micheal</v>
      </c>
      <c r="M14" t="str">
        <f>VLOOKUP($I14,'VLOOKUP(Different sheet)-1'!$F$3:$J$15,4,0)</f>
        <v>Tampa Bay</v>
      </c>
      <c r="N14" t="str">
        <f>VLOOKUP($I14,'VLOOKUP(Different sheet)-1'!$F$3:$J$15,5,0)</f>
        <v>Florida</v>
      </c>
    </row>
    <row r="15" spans="1:26" ht="15.75" customHeight="1" x14ac:dyDescent="0.25">
      <c r="A15" s="5">
        <v>990678</v>
      </c>
      <c r="B15" s="5" t="s">
        <v>28</v>
      </c>
      <c r="C15" s="5" t="s">
        <v>29</v>
      </c>
      <c r="E15" s="6">
        <v>110608</v>
      </c>
      <c r="F15" s="7">
        <v>131505</v>
      </c>
      <c r="I15" s="6">
        <v>110608</v>
      </c>
      <c r="J15" s="7">
        <v>131505</v>
      </c>
      <c r="K15" s="5" t="str">
        <f t="shared" si="0"/>
        <v>Doe</v>
      </c>
      <c r="L15" s="5" t="str">
        <f t="shared" si="1"/>
        <v>John</v>
      </c>
      <c r="M15" t="str">
        <f>VLOOKUP($I15,'VLOOKUP(Different sheet)-1'!$F$3:$J$15,4,0)</f>
        <v>Columbus</v>
      </c>
      <c r="N15" t="str">
        <f>VLOOKUP($I15,'VLOOKUP(Different sheet)-1'!$F$3:$J$15,5,0)</f>
        <v>Ohio</v>
      </c>
    </row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C1"/>
    <mergeCell ref="E1:F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F27" sqref="F27:F28"/>
    </sheetView>
  </sheetViews>
  <sheetFormatPr defaultColWidth="12.6640625" defaultRowHeight="15" customHeight="1" x14ac:dyDescent="0.25"/>
  <cols>
    <col min="1" max="6" width="12.6640625" customWidth="1"/>
  </cols>
  <sheetData>
    <row r="1" spans="1:10" ht="15.75" customHeight="1" x14ac:dyDescent="0.25">
      <c r="A1" s="14" t="s">
        <v>0</v>
      </c>
      <c r="B1" s="15"/>
      <c r="C1" s="16"/>
      <c r="F1" s="18" t="s">
        <v>2</v>
      </c>
      <c r="G1" s="15"/>
      <c r="H1" s="15"/>
      <c r="I1" s="15"/>
      <c r="J1" s="16"/>
    </row>
    <row r="2" spans="1:10" ht="15.75" customHeight="1" x14ac:dyDescent="0.25">
      <c r="A2" s="2" t="s">
        <v>3</v>
      </c>
      <c r="B2" s="2" t="s">
        <v>4</v>
      </c>
      <c r="C2" s="2" t="s">
        <v>5</v>
      </c>
      <c r="F2" s="4" t="s">
        <v>3</v>
      </c>
      <c r="G2" s="4" t="s">
        <v>4</v>
      </c>
      <c r="H2" s="4" t="s">
        <v>5</v>
      </c>
      <c r="I2" s="4" t="s">
        <v>30</v>
      </c>
      <c r="J2" s="4" t="s">
        <v>31</v>
      </c>
    </row>
    <row r="3" spans="1:10" ht="15.75" customHeight="1" x14ac:dyDescent="0.25">
      <c r="A3" s="5">
        <v>110608</v>
      </c>
      <c r="B3" s="5" t="s">
        <v>7</v>
      </c>
      <c r="C3" s="5" t="s">
        <v>8</v>
      </c>
      <c r="F3" s="5">
        <v>110608</v>
      </c>
      <c r="G3" s="5" t="s">
        <v>7</v>
      </c>
      <c r="H3" s="5" t="s">
        <v>8</v>
      </c>
      <c r="I3" s="5" t="str">
        <f>VLOOKUP($F3, 'VLOOKUP(Different sheet)-2'!$A$3:$C$15, 2,0)</f>
        <v>Columbus</v>
      </c>
      <c r="J3" s="5" t="str">
        <f>VLOOKUP($F3, 'VLOOKUP(Different sheet)-2'!$A$3:$C$15, 3,0)</f>
        <v>Ohio</v>
      </c>
    </row>
    <row r="4" spans="1:10" ht="15.75" customHeight="1" x14ac:dyDescent="0.25">
      <c r="A4" s="5">
        <v>253072</v>
      </c>
      <c r="B4" s="5" t="s">
        <v>9</v>
      </c>
      <c r="C4" s="5" t="s">
        <v>10</v>
      </c>
      <c r="F4" s="5">
        <v>253072</v>
      </c>
      <c r="G4" s="5" t="s">
        <v>9</v>
      </c>
      <c r="H4" s="5" t="s">
        <v>10</v>
      </c>
      <c r="I4" s="5" t="str">
        <f>VLOOKUP($F4, 'VLOOKUP(Different sheet)-2'!$A$3:$C$15, 2,0)</f>
        <v>Chicago</v>
      </c>
      <c r="J4" s="5" t="str">
        <f>VLOOKUP($F4, 'VLOOKUP(Different sheet)-2'!$A$3:$C$15, 3,0)</f>
        <v>Illinois</v>
      </c>
    </row>
    <row r="5" spans="1:10" ht="15.75" customHeight="1" x14ac:dyDescent="0.25">
      <c r="A5" s="5">
        <v>352711</v>
      </c>
      <c r="B5" s="5" t="s">
        <v>11</v>
      </c>
      <c r="C5" s="5" t="s">
        <v>8</v>
      </c>
      <c r="F5" s="5">
        <v>352711</v>
      </c>
      <c r="G5" s="5" t="s">
        <v>11</v>
      </c>
      <c r="H5" s="5" t="s">
        <v>8</v>
      </c>
      <c r="I5" s="5" t="str">
        <f>VLOOKUP($F5, 'VLOOKUP(Different sheet)-2'!$A$3:$C$15, 2,0)</f>
        <v>Tampa Bay</v>
      </c>
      <c r="J5" s="5" t="str">
        <f>VLOOKUP($F5, 'VLOOKUP(Different sheet)-2'!$A$3:$C$15, 3,0)</f>
        <v>Florida</v>
      </c>
    </row>
    <row r="6" spans="1:10" ht="15.75" customHeight="1" x14ac:dyDescent="0.25">
      <c r="A6" s="5">
        <v>391006</v>
      </c>
      <c r="B6" s="5" t="s">
        <v>12</v>
      </c>
      <c r="C6" s="5" t="s">
        <v>13</v>
      </c>
      <c r="F6" s="5">
        <v>391006</v>
      </c>
      <c r="G6" s="5" t="s">
        <v>12</v>
      </c>
      <c r="H6" s="5" t="s">
        <v>13</v>
      </c>
      <c r="I6" s="5" t="str">
        <f>VLOOKUP($F6, 'VLOOKUP(Different sheet)-2'!$A$3:$C$15, 2,0)</f>
        <v>Chicago</v>
      </c>
      <c r="J6" s="5" t="str">
        <f>VLOOKUP($F6, 'VLOOKUP(Different sheet)-2'!$A$3:$C$15, 3,0)</f>
        <v>Illinois</v>
      </c>
    </row>
    <row r="7" spans="1:10" ht="15.75" customHeight="1" x14ac:dyDescent="0.25">
      <c r="A7" s="5">
        <v>392128</v>
      </c>
      <c r="B7" s="5" t="s">
        <v>14</v>
      </c>
      <c r="C7" s="5" t="s">
        <v>15</v>
      </c>
      <c r="F7" s="5">
        <v>392128</v>
      </c>
      <c r="G7" s="5" t="s">
        <v>14</v>
      </c>
      <c r="H7" s="5" t="s">
        <v>15</v>
      </c>
      <c r="I7" s="5" t="str">
        <f>VLOOKUP($F7, 'VLOOKUP(Different sheet)-2'!$A$3:$C$15, 2,0)</f>
        <v>Chicago</v>
      </c>
      <c r="J7" s="5" t="str">
        <f>VLOOKUP($F7, 'VLOOKUP(Different sheet)-2'!$A$3:$C$15, 3,0)</f>
        <v>Illinois</v>
      </c>
    </row>
    <row r="8" spans="1:10" ht="15.75" customHeight="1" x14ac:dyDescent="0.25">
      <c r="A8" s="5">
        <v>549427</v>
      </c>
      <c r="B8" s="5" t="s">
        <v>16</v>
      </c>
      <c r="C8" s="5" t="s">
        <v>8</v>
      </c>
      <c r="F8" s="5">
        <v>549427</v>
      </c>
      <c r="G8" s="5" t="s">
        <v>16</v>
      </c>
      <c r="H8" s="5" t="s">
        <v>8</v>
      </c>
      <c r="I8" s="5" t="str">
        <f>VLOOKUP($F8, 'VLOOKUP(Different sheet)-2'!$A$3:$C$15, 2,0)</f>
        <v>Tampa Bay</v>
      </c>
      <c r="J8" s="5" t="str">
        <f>VLOOKUP($F8, 'VLOOKUP(Different sheet)-2'!$A$3:$C$15, 3,0)</f>
        <v>Florida</v>
      </c>
    </row>
    <row r="9" spans="1:10" ht="15.75" customHeight="1" x14ac:dyDescent="0.25">
      <c r="A9" s="5">
        <v>580622</v>
      </c>
      <c r="B9" s="5" t="s">
        <v>17</v>
      </c>
      <c r="C9" s="5" t="s">
        <v>18</v>
      </c>
      <c r="F9" s="5">
        <v>580622</v>
      </c>
      <c r="G9" s="5" t="s">
        <v>17</v>
      </c>
      <c r="H9" s="5" t="s">
        <v>18</v>
      </c>
      <c r="I9" s="5" t="str">
        <f>VLOOKUP($F9, 'VLOOKUP(Different sheet)-2'!$A$3:$C$15, 2,0)</f>
        <v>Columbus</v>
      </c>
      <c r="J9" s="5" t="str">
        <f>VLOOKUP($F9, 'VLOOKUP(Different sheet)-2'!$A$3:$C$15, 3,0)</f>
        <v>Ohio</v>
      </c>
    </row>
    <row r="10" spans="1:10" ht="15.75" customHeight="1" x14ac:dyDescent="0.25">
      <c r="A10" s="5">
        <v>602693</v>
      </c>
      <c r="B10" s="5" t="s">
        <v>19</v>
      </c>
      <c r="C10" s="5" t="s">
        <v>20</v>
      </c>
      <c r="F10" s="5">
        <v>602693</v>
      </c>
      <c r="G10" s="5" t="s">
        <v>19</v>
      </c>
      <c r="H10" s="5" t="s">
        <v>20</v>
      </c>
      <c r="I10" s="5" t="str">
        <f>VLOOKUP($F10, 'VLOOKUP(Different sheet)-2'!$A$3:$C$15, 2,0)</f>
        <v>Tampa Bay</v>
      </c>
      <c r="J10" s="5" t="str">
        <f>VLOOKUP($F10, 'VLOOKUP(Different sheet)-2'!$A$3:$C$15, 3,0)</f>
        <v>Florida</v>
      </c>
    </row>
    <row r="11" spans="1:10" ht="15.75" customHeight="1" x14ac:dyDescent="0.25">
      <c r="A11" s="5">
        <v>611810</v>
      </c>
      <c r="B11" s="5" t="s">
        <v>21</v>
      </c>
      <c r="C11" s="5" t="s">
        <v>22</v>
      </c>
      <c r="F11" s="5">
        <v>611810</v>
      </c>
      <c r="G11" s="5" t="s">
        <v>21</v>
      </c>
      <c r="H11" s="5" t="s">
        <v>22</v>
      </c>
      <c r="I11" s="5" t="str">
        <f>VLOOKUP($F11, 'VLOOKUP(Different sheet)-2'!$A$3:$C$15, 2,0)</f>
        <v>Austin</v>
      </c>
      <c r="J11" s="5" t="str">
        <f>VLOOKUP($F11, 'VLOOKUP(Different sheet)-2'!$A$3:$C$15, 3,0)</f>
        <v>Texas</v>
      </c>
    </row>
    <row r="12" spans="1:10" ht="15.75" customHeight="1" x14ac:dyDescent="0.25">
      <c r="A12" s="5">
        <v>612235</v>
      </c>
      <c r="B12" s="5" t="s">
        <v>23</v>
      </c>
      <c r="C12" s="5" t="s">
        <v>20</v>
      </c>
      <c r="F12" s="5">
        <v>612235</v>
      </c>
      <c r="G12" s="5" t="s">
        <v>23</v>
      </c>
      <c r="H12" s="5" t="s">
        <v>20</v>
      </c>
      <c r="I12" s="5" t="str">
        <f>VLOOKUP($F12, 'VLOOKUP(Different sheet)-2'!$A$3:$C$15, 2,0)</f>
        <v>Tampa Bay</v>
      </c>
      <c r="J12" s="5" t="str">
        <f>VLOOKUP($F12, 'VLOOKUP(Different sheet)-2'!$A$3:$C$15, 3,0)</f>
        <v>Florida</v>
      </c>
    </row>
    <row r="13" spans="1:10" ht="15.75" customHeight="1" x14ac:dyDescent="0.25">
      <c r="A13" s="5">
        <v>795574</v>
      </c>
      <c r="B13" s="5" t="s">
        <v>24</v>
      </c>
      <c r="C13" s="5" t="s">
        <v>25</v>
      </c>
      <c r="F13" s="5">
        <v>795574</v>
      </c>
      <c r="G13" s="5" t="s">
        <v>24</v>
      </c>
      <c r="H13" s="5" t="s">
        <v>25</v>
      </c>
      <c r="I13" s="5" t="str">
        <f>VLOOKUP($F13, 'VLOOKUP(Different sheet)-2'!$A$3:$C$15, 2,0)</f>
        <v>Austin</v>
      </c>
      <c r="J13" s="5" t="str">
        <f>VLOOKUP($F13, 'VLOOKUP(Different sheet)-2'!$A$3:$C$15, 3,0)</f>
        <v>Texas</v>
      </c>
    </row>
    <row r="14" spans="1:10" ht="15.75" customHeight="1" x14ac:dyDescent="0.25">
      <c r="A14" s="5">
        <v>830385</v>
      </c>
      <c r="B14" s="5" t="s">
        <v>26</v>
      </c>
      <c r="C14" s="5" t="s">
        <v>27</v>
      </c>
      <c r="F14" s="5">
        <v>830385</v>
      </c>
      <c r="G14" s="5" t="s">
        <v>26</v>
      </c>
      <c r="H14" s="5" t="s">
        <v>27</v>
      </c>
      <c r="I14" s="5" t="str">
        <f>VLOOKUP($F14, 'VLOOKUP(Different sheet)-2'!$A$3:$C$15, 2,0)</f>
        <v>Chicago</v>
      </c>
      <c r="J14" s="5" t="str">
        <f>VLOOKUP($F14, 'VLOOKUP(Different sheet)-2'!$A$3:$C$15, 3,0)</f>
        <v>Illinois</v>
      </c>
    </row>
    <row r="15" spans="1:10" ht="15.75" customHeight="1" x14ac:dyDescent="0.25">
      <c r="A15" s="5">
        <v>990678</v>
      </c>
      <c r="B15" s="5" t="s">
        <v>28</v>
      </c>
      <c r="C15" s="5" t="s">
        <v>29</v>
      </c>
      <c r="F15" s="5">
        <v>990678</v>
      </c>
      <c r="G15" s="5" t="s">
        <v>28</v>
      </c>
      <c r="H15" s="5" t="s">
        <v>29</v>
      </c>
      <c r="I15" s="5" t="str">
        <f>VLOOKUP($F15, 'VLOOKUP(Different sheet)-2'!$A$3:$C$15, 2,0)</f>
        <v>Austin</v>
      </c>
      <c r="J15" s="5" t="str">
        <f>VLOOKUP($F15, 'VLOOKUP(Different sheet)-2'!$A$3:$C$15, 3,0)</f>
        <v>Texas</v>
      </c>
    </row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C1"/>
    <mergeCell ref="F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sqref="A1:C1"/>
    </sheetView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17" t="s">
        <v>1</v>
      </c>
      <c r="B1" s="15"/>
      <c r="C1" s="16"/>
    </row>
    <row r="2" spans="1:3" ht="15.75" customHeight="1" x14ac:dyDescent="0.25">
      <c r="A2" s="3" t="s">
        <v>3</v>
      </c>
      <c r="B2" s="3" t="s">
        <v>30</v>
      </c>
      <c r="C2" s="3" t="s">
        <v>31</v>
      </c>
    </row>
    <row r="3" spans="1:3" ht="15.75" customHeight="1" x14ac:dyDescent="0.25">
      <c r="A3" s="5">
        <v>110608</v>
      </c>
      <c r="B3" s="5" t="s">
        <v>32</v>
      </c>
      <c r="C3" s="5" t="s">
        <v>33</v>
      </c>
    </row>
    <row r="4" spans="1:3" ht="15.75" customHeight="1" x14ac:dyDescent="0.25">
      <c r="A4" s="5">
        <v>253072</v>
      </c>
      <c r="B4" s="5" t="s">
        <v>34</v>
      </c>
      <c r="C4" s="5" t="s">
        <v>35</v>
      </c>
    </row>
    <row r="5" spans="1:3" ht="15.75" customHeight="1" x14ac:dyDescent="0.25">
      <c r="A5" s="5">
        <v>352711</v>
      </c>
      <c r="B5" s="5" t="s">
        <v>36</v>
      </c>
      <c r="C5" s="5" t="s">
        <v>37</v>
      </c>
    </row>
    <row r="6" spans="1:3" ht="15.75" customHeight="1" x14ac:dyDescent="0.25">
      <c r="A6" s="5">
        <v>391006</v>
      </c>
      <c r="B6" s="5" t="s">
        <v>34</v>
      </c>
      <c r="C6" s="5" t="s">
        <v>35</v>
      </c>
    </row>
    <row r="7" spans="1:3" ht="15.75" customHeight="1" x14ac:dyDescent="0.25">
      <c r="A7" s="5">
        <v>392128</v>
      </c>
      <c r="B7" s="5" t="s">
        <v>34</v>
      </c>
      <c r="C7" s="5" t="s">
        <v>35</v>
      </c>
    </row>
    <row r="8" spans="1:3" ht="15.75" customHeight="1" x14ac:dyDescent="0.25">
      <c r="A8" s="5">
        <v>549427</v>
      </c>
      <c r="B8" s="5" t="s">
        <v>36</v>
      </c>
      <c r="C8" s="5" t="s">
        <v>37</v>
      </c>
    </row>
    <row r="9" spans="1:3" ht="15.75" customHeight="1" x14ac:dyDescent="0.25">
      <c r="A9" s="5">
        <v>580622</v>
      </c>
      <c r="B9" s="5" t="s">
        <v>32</v>
      </c>
      <c r="C9" s="5" t="s">
        <v>33</v>
      </c>
    </row>
    <row r="10" spans="1:3" ht="15.75" customHeight="1" x14ac:dyDescent="0.25">
      <c r="A10" s="5">
        <v>602693</v>
      </c>
      <c r="B10" s="5" t="s">
        <v>36</v>
      </c>
      <c r="C10" s="5" t="s">
        <v>37</v>
      </c>
    </row>
    <row r="11" spans="1:3" ht="15.75" customHeight="1" x14ac:dyDescent="0.25">
      <c r="A11" s="5">
        <v>611810</v>
      </c>
      <c r="B11" s="5" t="s">
        <v>38</v>
      </c>
      <c r="C11" s="5" t="s">
        <v>39</v>
      </c>
    </row>
    <row r="12" spans="1:3" ht="15.75" customHeight="1" x14ac:dyDescent="0.25">
      <c r="A12" s="5">
        <v>612235</v>
      </c>
      <c r="B12" s="5" t="s">
        <v>36</v>
      </c>
      <c r="C12" s="5" t="s">
        <v>37</v>
      </c>
    </row>
    <row r="13" spans="1:3" ht="15.75" customHeight="1" x14ac:dyDescent="0.25">
      <c r="A13" s="5">
        <v>795574</v>
      </c>
      <c r="B13" s="5" t="s">
        <v>38</v>
      </c>
      <c r="C13" s="5" t="s">
        <v>39</v>
      </c>
    </row>
    <row r="14" spans="1:3" ht="15.75" customHeight="1" x14ac:dyDescent="0.25">
      <c r="A14" s="5">
        <v>830385</v>
      </c>
      <c r="B14" s="5" t="s">
        <v>34</v>
      </c>
      <c r="C14" s="5" t="s">
        <v>35</v>
      </c>
    </row>
    <row r="15" spans="1:3" ht="15.75" customHeight="1" x14ac:dyDescent="0.25">
      <c r="A15" s="5">
        <v>990678</v>
      </c>
      <c r="B15" s="5" t="s">
        <v>38</v>
      </c>
      <c r="C15" s="5" t="s">
        <v>39</v>
      </c>
    </row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12" sqref="B12"/>
    </sheetView>
  </sheetViews>
  <sheetFormatPr defaultColWidth="12.6640625" defaultRowHeight="15" customHeight="1" x14ac:dyDescent="0.25"/>
  <cols>
    <col min="1" max="1" width="21" customWidth="1"/>
    <col min="2" max="6" width="12.6640625" customWidth="1"/>
  </cols>
  <sheetData>
    <row r="1" spans="1:26" ht="15.75" customHeight="1" x14ac:dyDescent="0.25">
      <c r="A1" s="8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 x14ac:dyDescent="0.25">
      <c r="A2" s="11" t="s">
        <v>46</v>
      </c>
      <c r="B2" s="6">
        <v>75</v>
      </c>
      <c r="C2" s="6">
        <v>65</v>
      </c>
      <c r="D2" s="6">
        <v>70</v>
      </c>
      <c r="E2" s="6">
        <v>60</v>
      </c>
      <c r="F2" s="6">
        <v>59</v>
      </c>
    </row>
    <row r="3" spans="1:26" ht="15.75" customHeight="1" x14ac:dyDescent="0.25">
      <c r="A3" s="11" t="s">
        <v>47</v>
      </c>
      <c r="B3" s="6">
        <v>65</v>
      </c>
      <c r="C3" s="6">
        <v>72</v>
      </c>
      <c r="D3" s="6">
        <v>78</v>
      </c>
      <c r="E3" s="6">
        <v>89</v>
      </c>
      <c r="F3" s="6">
        <v>67</v>
      </c>
    </row>
    <row r="4" spans="1:26" ht="15.75" customHeight="1" x14ac:dyDescent="0.25">
      <c r="A4" s="11" t="s">
        <v>48</v>
      </c>
      <c r="B4" s="6">
        <v>70</v>
      </c>
      <c r="C4" s="6">
        <v>68</v>
      </c>
      <c r="D4" s="6">
        <v>90</v>
      </c>
      <c r="E4" s="6">
        <v>72</v>
      </c>
      <c r="F4" s="6">
        <v>58</v>
      </c>
    </row>
    <row r="5" spans="1:26" ht="15.75" customHeight="1" x14ac:dyDescent="0.25">
      <c r="A5" s="11" t="s">
        <v>49</v>
      </c>
      <c r="B5" s="6">
        <v>80</v>
      </c>
      <c r="C5" s="6">
        <v>90</v>
      </c>
      <c r="D5" s="6">
        <v>75</v>
      </c>
      <c r="E5" s="6">
        <v>65</v>
      </c>
      <c r="F5" s="6">
        <v>87</v>
      </c>
    </row>
    <row r="6" spans="1:26" ht="15.75" customHeight="1" x14ac:dyDescent="0.25"/>
    <row r="7" spans="1:26" ht="15.75" customHeight="1" x14ac:dyDescent="0.25"/>
    <row r="8" spans="1:26" ht="15.75" customHeight="1" x14ac:dyDescent="0.25">
      <c r="A8" s="12" t="s">
        <v>50</v>
      </c>
      <c r="B8" s="12">
        <f>HLOOKUP(E1, A1:F5, 4, 0)</f>
        <v>72</v>
      </c>
    </row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>
      <c r="A12" t="s">
        <v>60</v>
      </c>
      <c r="B12">
        <f>HLOOKUP(C1,A1:F5,5,0)</f>
        <v>90</v>
      </c>
    </row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>
      <selection activeCell="C14" sqref="C14"/>
    </sheetView>
  </sheetViews>
  <sheetFormatPr defaultColWidth="12.6640625" defaultRowHeight="15" customHeight="1" x14ac:dyDescent="0.25"/>
  <cols>
    <col min="1" max="6" width="12.6640625" customWidth="1"/>
  </cols>
  <sheetData>
    <row r="1" spans="1:3" ht="15.75" customHeight="1" x14ac:dyDescent="0.25">
      <c r="A1" s="13" t="s">
        <v>51</v>
      </c>
      <c r="B1" s="13" t="s">
        <v>52</v>
      </c>
      <c r="C1" s="13" t="s">
        <v>53</v>
      </c>
    </row>
    <row r="2" spans="1:3" ht="15.75" customHeight="1" x14ac:dyDescent="0.25">
      <c r="A2" s="6" t="s">
        <v>54</v>
      </c>
      <c r="B2" s="6">
        <v>6.2</v>
      </c>
      <c r="C2" s="6">
        <v>95</v>
      </c>
    </row>
    <row r="3" spans="1:3" ht="15.75" customHeight="1" x14ac:dyDescent="0.25">
      <c r="A3" s="6" t="s">
        <v>55</v>
      </c>
      <c r="B3" s="6">
        <v>5.9</v>
      </c>
      <c r="C3" s="6">
        <v>87</v>
      </c>
    </row>
    <row r="4" spans="1:3" ht="15.75" customHeight="1" x14ac:dyDescent="0.25">
      <c r="A4" s="6" t="s">
        <v>56</v>
      </c>
      <c r="B4" s="6">
        <v>5.8</v>
      </c>
      <c r="C4" s="6">
        <v>88</v>
      </c>
    </row>
    <row r="5" spans="1:3" ht="15.75" customHeight="1" x14ac:dyDescent="0.25">
      <c r="A5" s="6" t="s">
        <v>57</v>
      </c>
      <c r="B5" s="6">
        <v>5.5</v>
      </c>
      <c r="C5" s="6">
        <v>79</v>
      </c>
    </row>
    <row r="6" spans="1:3" ht="15.75" customHeight="1" x14ac:dyDescent="0.25">
      <c r="A6" s="6" t="s">
        <v>58</v>
      </c>
      <c r="B6" s="6">
        <v>6.1</v>
      </c>
      <c r="C6" s="6">
        <v>101</v>
      </c>
    </row>
    <row r="7" spans="1:3" ht="15.75" customHeight="1" x14ac:dyDescent="0.25">
      <c r="A7" s="6" t="s">
        <v>59</v>
      </c>
      <c r="B7" s="6">
        <v>6</v>
      </c>
      <c r="C7" s="6">
        <v>83</v>
      </c>
    </row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>
      <c r="B11" t="s">
        <v>57</v>
      </c>
      <c r="C11">
        <f>INDEX(B1:B7,MATCH(A5,A1:A7,0))</f>
        <v>5.5</v>
      </c>
    </row>
    <row r="12" spans="1:3" ht="15.75" customHeight="1" x14ac:dyDescent="0.25"/>
    <row r="13" spans="1:3" ht="15.75" customHeight="1" x14ac:dyDescent="0.25">
      <c r="B13" t="s">
        <v>59</v>
      </c>
      <c r="C13">
        <f>INDEX(C1:C7,MATCH(B13,A1:A7,0))</f>
        <v>83</v>
      </c>
    </row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 (same sheet)</vt:lpstr>
      <vt:lpstr>VLOOKUP(Different sheet)-1</vt:lpstr>
      <vt:lpstr>VLOOKUP(Different sheet)-2</vt:lpstr>
      <vt:lpstr>HLOOKUP</vt:lpstr>
      <vt:lpstr>INDEX-MATCH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Giddaluru</dc:creator>
  <cp:lastModifiedBy>Mahesh babu G</cp:lastModifiedBy>
  <dcterms:created xsi:type="dcterms:W3CDTF">2025-06-06T09:49:53Z</dcterms:created>
  <dcterms:modified xsi:type="dcterms:W3CDTF">2025-06-06T09:49:53Z</dcterms:modified>
</cp:coreProperties>
</file>